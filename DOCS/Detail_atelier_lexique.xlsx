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<sst xmlns="http://schemas.openxmlformats.org/spreadsheetml/2006/main" count="31" uniqueCount="31">
  <si>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N°</t>
  </si>
  <si>
    <t>Rubriques</t>
  </si>
  <si>
    <t>Unité</t>
  </si>
  <si>
    <t>Durée</t>
  </si>
  <si>
    <t>Quantité</t>
  </si>
  <si>
    <t xml:space="preserve">Prix unitaire</t>
  </si>
  <si>
    <t xml:space="preserve">Coût total (FCFA)</t>
  </si>
  <si>
    <t xml:space="preserve">Hébergement &amp; perdiems agents Sodexam / équipe universitaire (10 pers x 4 jours)</t>
  </si>
  <si>
    <t>Nuitée</t>
  </si>
  <si>
    <t xml:space="preserve">Perdiem participants locaux (25 pers x 3 jours)</t>
  </si>
  <si>
    <t>Jour</t>
  </si>
  <si>
    <t xml:space="preserve">Location vehicule</t>
  </si>
  <si>
    <t>Jour</t>
  </si>
  <si>
    <t>Carburant</t>
  </si>
  <si>
    <t>Forfait</t>
  </si>
  <si>
    <t xml:space="preserve">Location salle de conférence (3 jours)</t>
  </si>
  <si>
    <t>Jour</t>
  </si>
  <si>
    <t xml:space="preserve">Matériel d'enregistrement (simulations radio)</t>
  </si>
  <si>
    <t>Forfait</t>
  </si>
  <si>
    <t xml:space="preserve">Pauses-café (35 pers x 2 pauses x 3 jours)</t>
  </si>
  <si>
    <t>Pause</t>
  </si>
  <si>
    <t xml:space="preserve">Restauration (35 pers x 2 pauses x 3 jours)</t>
  </si>
  <si>
    <t xml:space="preserve">Impression lexique (35 exemplaires)</t>
  </si>
  <si>
    <t>Exemplaire</t>
  </si>
  <si>
    <t xml:space="preserve">Kits participants (chemise arrabat,  blocs-notes, stylos)</t>
  </si>
  <si>
    <t>Kit</t>
  </si>
  <si>
    <t xml:space="preserve">Rapports atelier</t>
  </si>
  <si>
    <t>Forfait</t>
  </si>
  <si>
    <t xml:space="preserve">Frais de communication (téléphone, internet)</t>
  </si>
  <si>
    <t>Forfait</t>
  </si>
  <si>
    <t xml:space="preserve">TOTAL GÉNÉRAL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</si>
</sst>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\ _€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C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0" borderId="0" numFmtId="0" xfId="0" applyAlignment="1">
      <alignment horizontal="center"/>
    </xf>
    <xf fontId="0" fillId="0" borderId="1" numFmtId="0" xfId="0" applyBorder="1" applyAlignment="1">
      <alignment horizontal="center"/>
    </xf>
    <xf fontId="1" fillId="0" borderId="2" numFmtId="0" xfId="0" applyFont="1" applyBorder="1"/>
    <xf fontId="1" fillId="0" borderId="3" numFmtId="0" xfId="0" applyFont="1" applyBorder="1"/>
    <xf fontId="0" fillId="0" borderId="2" numFmtId="0" xfId="0" applyBorder="1" applyAlignment="1">
      <alignment wrapText="1"/>
    </xf>
    <xf fontId="0" fillId="0" borderId="3" numFmtId="0" xfId="0" applyBorder="1" applyAlignment="1">
      <alignment horizontal="left"/>
    </xf>
    <xf fontId="0" fillId="0" borderId="3" numFmtId="164" xfId="0" applyNumberFormat="1" applyBorder="1" applyAlignment="1">
      <alignment horizontal="center"/>
    </xf>
    <xf fontId="0" fillId="0" borderId="2" numFmtId="0" xfId="0" applyBorder="1"/>
    <xf fontId="0" fillId="0" borderId="2" numFmtId="0" xfId="0" applyBorder="1"/>
    <xf fontId="0" fillId="0" borderId="3" numFmtId="0" xfId="0" applyBorder="1" applyAlignment="1">
      <alignment horizontal="left"/>
    </xf>
    <xf fontId="0" fillId="0" borderId="0" numFmtId="0" xfId="0" applyAlignment="1">
      <alignment horizontal="center"/>
    </xf>
    <xf fontId="2" fillId="0" borderId="2" numFmtId="0" xfId="0" applyFont="1" applyBorder="1"/>
    <xf fontId="2" fillId="0" borderId="3" numFmtId="16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min="1" max="1" style="1" width="10.28125"/>
    <col bestFit="1" customWidth="1" min="2" max="2" width="51.6640625"/>
    <col bestFit="1" customWidth="1" min="6" max="6" width="11.3828125"/>
    <col bestFit="1" customWidth="1" min="7" max="7" width="15.6640625"/>
  </cols>
  <sheetData>
    <row r="2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ht="28.5">
      <c r="A3" s="2">
        <v>1</v>
      </c>
      <c r="B3" s="5" t="s">
        <v>7</v>
      </c>
      <c r="C3" s="6" t="s">
        <v>8</v>
      </c>
      <c r="D3" s="7">
        <v>5</v>
      </c>
      <c r="E3" s="7">
        <v>10</v>
      </c>
      <c r="F3" s="7">
        <v>40000</v>
      </c>
      <c r="G3" s="7">
        <f>D3*E3*F3</f>
        <v>2000000</v>
      </c>
    </row>
    <row r="4">
      <c r="A4" s="2">
        <v>2</v>
      </c>
      <c r="B4" s="8" t="s">
        <v>9</v>
      </c>
      <c r="C4" s="6" t="s">
        <v>10</v>
      </c>
      <c r="D4" s="7">
        <v>3</v>
      </c>
      <c r="E4" s="7">
        <v>25</v>
      </c>
      <c r="F4" s="7">
        <v>20000</v>
      </c>
      <c r="G4" s="7">
        <f>D4*E4*F4</f>
        <v>1500000</v>
      </c>
    </row>
    <row r="5">
      <c r="A5" s="2">
        <v>3</v>
      </c>
      <c r="B5" s="9" t="s">
        <v>11</v>
      </c>
      <c r="C5" s="10" t="s">
        <v>12</v>
      </c>
      <c r="D5" s="7">
        <v>5</v>
      </c>
      <c r="E5" s="7">
        <v>1</v>
      </c>
      <c r="F5" s="7">
        <v>80000</v>
      </c>
      <c r="G5" s="7">
        <f>D5*E5*F5</f>
        <v>400000</v>
      </c>
    </row>
    <row r="6">
      <c r="A6" s="2">
        <v>4</v>
      </c>
      <c r="B6" s="9" t="s">
        <v>13</v>
      </c>
      <c r="C6" s="10" t="s">
        <v>14</v>
      </c>
      <c r="D6" s="7">
        <v>1</v>
      </c>
      <c r="E6" s="7">
        <v>1</v>
      </c>
      <c r="F6" s="7">
        <v>300000</v>
      </c>
      <c r="G6" s="7">
        <f>D6*E6*F6</f>
        <v>300000</v>
      </c>
    </row>
    <row r="7">
      <c r="A7" s="2">
        <v>5</v>
      </c>
      <c r="B7" s="9" t="s">
        <v>15</v>
      </c>
      <c r="C7" s="6" t="s">
        <v>16</v>
      </c>
      <c r="D7" s="7">
        <v>3</v>
      </c>
      <c r="E7" s="7">
        <v>1</v>
      </c>
      <c r="F7" s="7">
        <v>100000</v>
      </c>
      <c r="G7" s="7">
        <f>D7*E7*F7</f>
        <v>300000</v>
      </c>
    </row>
    <row r="8">
      <c r="A8" s="2">
        <v>7</v>
      </c>
      <c r="B8" s="8" t="s">
        <v>17</v>
      </c>
      <c r="C8" s="6" t="s">
        <v>18</v>
      </c>
      <c r="D8" s="7">
        <v>1</v>
      </c>
      <c r="E8" s="7">
        <v>1</v>
      </c>
      <c r="F8" s="7">
        <v>35000</v>
      </c>
      <c r="G8" s="7">
        <f>D8*E8*F8</f>
        <v>35000</v>
      </c>
    </row>
    <row r="9">
      <c r="A9" s="2">
        <v>8</v>
      </c>
      <c r="B9" s="9" t="s">
        <v>19</v>
      </c>
      <c r="C9" s="6" t="s">
        <v>20</v>
      </c>
      <c r="D9" s="7">
        <v>3</v>
      </c>
      <c r="E9" s="7">
        <v>70</v>
      </c>
      <c r="F9" s="7">
        <v>1500</v>
      </c>
      <c r="G9" s="7">
        <f>D9*E9*F9</f>
        <v>315000</v>
      </c>
    </row>
    <row r="10">
      <c r="A10" s="2">
        <v>9</v>
      </c>
      <c r="B10" s="9" t="s">
        <v>21</v>
      </c>
      <c r="C10" s="10" t="s">
        <v>20</v>
      </c>
      <c r="D10" s="7">
        <v>3</v>
      </c>
      <c r="E10" s="7">
        <v>70</v>
      </c>
      <c r="F10" s="7">
        <v>3000</v>
      </c>
      <c r="G10" s="7">
        <f>D10*E10*F10</f>
        <v>630000</v>
      </c>
    </row>
    <row r="11">
      <c r="A11" s="2">
        <v>10</v>
      </c>
      <c r="B11" s="9" t="s">
        <v>22</v>
      </c>
      <c r="C11" s="6" t="s">
        <v>23</v>
      </c>
      <c r="D11" s="7">
        <v>1</v>
      </c>
      <c r="E11" s="7">
        <v>40</v>
      </c>
      <c r="F11" s="7">
        <v>2500</v>
      </c>
      <c r="G11" s="7">
        <f>D11*E11*F11</f>
        <v>100000</v>
      </c>
    </row>
    <row r="12">
      <c r="A12" s="2">
        <v>11</v>
      </c>
      <c r="B12" s="9" t="s">
        <v>24</v>
      </c>
      <c r="C12" s="6" t="s">
        <v>25</v>
      </c>
      <c r="D12" s="7">
        <v>1</v>
      </c>
      <c r="E12" s="7">
        <v>40</v>
      </c>
      <c r="F12" s="7">
        <v>1500</v>
      </c>
      <c r="G12" s="7">
        <f>D12*E12*F12</f>
        <v>60000</v>
      </c>
    </row>
    <row r="13">
      <c r="A13" s="2">
        <v>12</v>
      </c>
      <c r="B13" s="9" t="s">
        <v>26</v>
      </c>
      <c r="C13" s="6" t="s">
        <v>27</v>
      </c>
      <c r="D13" s="7">
        <v>1</v>
      </c>
      <c r="E13" s="7">
        <v>1</v>
      </c>
      <c r="F13" s="7">
        <v>25000</v>
      </c>
      <c r="G13" s="7">
        <f>D13*E13*F13</f>
        <v>25000</v>
      </c>
    </row>
    <row r="14">
      <c r="A14" s="2">
        <v>13</v>
      </c>
      <c r="B14" s="8" t="s">
        <v>28</v>
      </c>
      <c r="C14" s="6" t="s">
        <v>29</v>
      </c>
      <c r="D14" s="7">
        <v>1</v>
      </c>
      <c r="E14" s="7">
        <v>1</v>
      </c>
      <c r="F14" s="7">
        <v>20000</v>
      </c>
      <c r="G14" s="7">
        <f>D14*E14*F14</f>
        <v>20000</v>
      </c>
    </row>
    <row r="15">
      <c r="A15" s="11"/>
      <c r="B15" s="12" t="s">
        <v>30</v>
      </c>
      <c r="C15" s="6"/>
      <c r="D15" s="7"/>
      <c r="E15" s="7"/>
      <c r="F15" s="7"/>
      <c r="G15" s="13">
        <f>SUM(G3:G14)</f>
        <v>5685000</v>
      </c>
    </row>
    <row r="16" ht="14.25">
      <c r="A16" s="1"/>
    </row>
    <row r="17" ht="14.25">
      <c r="A17" s="1"/>
    </row>
    <row r="18" ht="14.25">
      <c r="A18" s="1"/>
    </row>
    <row r="19" ht="14.25">
      <c r="A19" s="1"/>
    </row>
    <row r="20" ht="14.25">
      <c r="A20" s="1"/>
    </row>
    <row r="22" ht="14.25">
      <c r="A22" s="1"/>
    </row>
    <row r="23" ht="14.25">
      <c r="A23" s="1"/>
    </row>
    <row r="25" ht="14.25">
      <c r="A25" s="1"/>
    </row>
    <row r="28" ht="14.25">
      <c r="A28" s="1"/>
    </row>
    <row r="33" ht="14.25">
      <c r="A33" s="1"/>
    </row>
    <row r="34" ht="14.25">
      <c r="A34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2025-11-12T15:51:02Z</dcterms:modified>
</cp:coreProperties>
</file>